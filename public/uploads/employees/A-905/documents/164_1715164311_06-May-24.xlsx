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3" sheetId="3" r:id="rId2"/>
  </sheets>
  <definedNames>
    <definedName name="_xlnm.Print_Area" localSheetId="0">Sheet1!$A$1:$I$38</definedName>
  </definedNames>
  <calcPr calcId="125725"/>
</workbook>
</file>

<file path=xl/calcChain.xml><?xml version="1.0" encoding="utf-8"?>
<calcChain xmlns="http://schemas.openxmlformats.org/spreadsheetml/2006/main">
  <c r="I4" i="1"/>
  <c r="C4" l="1"/>
  <c r="C5"/>
  <c r="B6"/>
  <c r="H6"/>
  <c r="G6"/>
  <c r="F6"/>
  <c r="E6"/>
  <c r="C6" l="1"/>
  <c r="D6"/>
</calcChain>
</file>

<file path=xl/sharedStrings.xml><?xml version="1.0" encoding="utf-8"?>
<sst xmlns="http://schemas.openxmlformats.org/spreadsheetml/2006/main" count="167" uniqueCount="92">
  <si>
    <t>Total</t>
  </si>
  <si>
    <t>Present</t>
  </si>
  <si>
    <t>Official Meeting</t>
  </si>
  <si>
    <t>Late Entry</t>
  </si>
  <si>
    <t>Absent</t>
  </si>
  <si>
    <t>Leave</t>
  </si>
  <si>
    <t>Weekend</t>
  </si>
  <si>
    <t>Nex HO</t>
  </si>
  <si>
    <t>M2M</t>
  </si>
  <si>
    <t>SL</t>
  </si>
  <si>
    <t>Name</t>
  </si>
  <si>
    <t>Department</t>
  </si>
  <si>
    <t>Designation</t>
  </si>
  <si>
    <t>Remarks</t>
  </si>
  <si>
    <t>Late List</t>
  </si>
  <si>
    <t>In Time</t>
  </si>
  <si>
    <t>Reason</t>
  </si>
  <si>
    <t>Absent List</t>
  </si>
  <si>
    <t>Enjoyed</t>
  </si>
  <si>
    <t>Remain</t>
  </si>
  <si>
    <t>Home Office</t>
  </si>
  <si>
    <t>IT</t>
  </si>
  <si>
    <t>Manager, Network</t>
  </si>
  <si>
    <t>Sorna Kundu</t>
  </si>
  <si>
    <t>Maternity Leave</t>
  </si>
  <si>
    <t>Readuzzaman Razib</t>
  </si>
  <si>
    <t>Billing &amp; Credit Control</t>
  </si>
  <si>
    <t>Sr. Manager</t>
  </si>
  <si>
    <t>Annual leave</t>
  </si>
  <si>
    <t>Sales &amp; Marketing</t>
  </si>
  <si>
    <t>Md. Rokon-Uz-Zaman</t>
  </si>
  <si>
    <t>Sr. Software Developer</t>
  </si>
  <si>
    <t>Tariqul Islam</t>
  </si>
  <si>
    <t>Jr. Software Engineer (QA)</t>
  </si>
  <si>
    <t>Designer</t>
  </si>
  <si>
    <t>Graphic Designer</t>
  </si>
  <si>
    <t>Takmilul Ehsan</t>
  </si>
  <si>
    <t>Md. Tanbir Rahman</t>
  </si>
  <si>
    <t>Asst. Manager, Broadcast &amp; OTT</t>
  </si>
  <si>
    <t>Sick Leave</t>
  </si>
  <si>
    <t>Half Day Leave</t>
  </si>
  <si>
    <t>Due to Sickness</t>
  </si>
  <si>
    <t>Syed Syfuzzaman</t>
  </si>
  <si>
    <t>Jr. Flutter Developer</t>
  </si>
  <si>
    <t>Didn’t get any information</t>
  </si>
  <si>
    <t>Mukul Mia</t>
  </si>
  <si>
    <t>Operation</t>
  </si>
  <si>
    <t>Papon Chakraborty</t>
  </si>
  <si>
    <t>Sr. Executive</t>
  </si>
  <si>
    <t>Meeting with Basundhara Group</t>
  </si>
  <si>
    <t>Abdul Al Hamid</t>
  </si>
  <si>
    <t>Executive</t>
  </si>
  <si>
    <t>Mahade Hasan Leon</t>
  </si>
  <si>
    <t>Kayes Ahmed</t>
  </si>
  <si>
    <t>Asst. Manager</t>
  </si>
  <si>
    <t>Meeting with US Bangla Airlines OPS</t>
  </si>
  <si>
    <t>Towsib Kabir Chowdhury</t>
  </si>
  <si>
    <t>Due to heavy traffic</t>
  </si>
  <si>
    <t>Fatema Tuz Zohora</t>
  </si>
  <si>
    <t>Sarmin Akter Rita</t>
  </si>
  <si>
    <t>Nowshin Naj Tanisha</t>
  </si>
  <si>
    <t>M&amp;O Management</t>
  </si>
  <si>
    <t>Md. Riajul Kabir</t>
  </si>
  <si>
    <t>Director</t>
  </si>
  <si>
    <t>Meeting with Al-Mustafa Group</t>
  </si>
  <si>
    <t>Fathe Rabbi</t>
  </si>
  <si>
    <t>Birendraw Tripura</t>
  </si>
  <si>
    <t>Sales &amp; Marketing(Nextechmart)</t>
  </si>
  <si>
    <t>Musabbir Ehsan</t>
  </si>
  <si>
    <t>Md. Shahariar Islam</t>
  </si>
  <si>
    <t>Md. Walioul Islam</t>
  </si>
  <si>
    <t>Tanvir Rahman</t>
  </si>
  <si>
    <t>Moshahed Alam</t>
  </si>
  <si>
    <t>Omar faruque fahad</t>
  </si>
  <si>
    <t>Alimuzzaman Moon</t>
  </si>
  <si>
    <t>Gm Shafiqul</t>
  </si>
  <si>
    <t>Md. Mohaiminur Rahman</t>
  </si>
  <si>
    <t>Somnath Misra</t>
  </si>
  <si>
    <t>Mahafujul Islam</t>
  </si>
  <si>
    <t>Maruf Ahmed</t>
  </si>
  <si>
    <t>Software Developer</t>
  </si>
  <si>
    <t>Jr. Software Engineer (iOS)</t>
  </si>
  <si>
    <t>Management Trainee</t>
  </si>
  <si>
    <t>Sr. Software Engineer</t>
  </si>
  <si>
    <t>Jr. Software Developer (JAVA)</t>
  </si>
  <si>
    <t>NOC Coordinator</t>
  </si>
  <si>
    <t>Jr. Software Engineer(Android)</t>
  </si>
  <si>
    <t>Jr. Software Developer (Backend)</t>
  </si>
  <si>
    <t>Finance &amp; Accounts</t>
  </si>
  <si>
    <t>Due to sickness</t>
  </si>
  <si>
    <t>Due to personal emergency</t>
  </si>
  <si>
    <t>Manager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</si>
</sst>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8" fontId="4" fillId="0" borderId="1" xfId="1" applyNumberFormat="1" applyFont="1" applyBorder="1" applyAlignment="1">
      <alignment horizontal="center"/>
    </xf>
    <xf numFmtId="0" fontId="4" fillId="0" borderId="0" xfId="0" applyFont="1"/>
    <xf numFmtId="0" fontId="4" fillId="0" borderId="1" xfId="1" applyFont="1" applyBorder="1"/>
    <xf numFmtId="0" fontId="3" fillId="0" borderId="1" xfId="1" applyFont="1" applyBorder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center"/>
    </xf>
    <xf numFmtId="0" fontId="4" fillId="0" borderId="4" xfId="0" applyFont="1" applyBorder="1"/>
    <xf numFmtId="0" fontId="4" fillId="0" borderId="8" xfId="0" applyFont="1" applyBorder="1"/>
    <xf numFmtId="0" fontId="4" fillId="0" borderId="0" xfId="1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1" applyFont="1" applyBorder="1"/>
    <xf numFmtId="0" fontId="3" fillId="0" borderId="0" xfId="1" applyFont="1" applyAlignment="1">
      <alignment horizontal="center" vertical="top"/>
    </xf>
    <xf numFmtId="0" fontId="4" fillId="0" borderId="0" xfId="0" applyFont="1" applyBorder="1" applyAlignment="1">
      <alignment horizontal="left" vertical="center"/>
    </xf>
    <xf numFmtId="18" fontId="4" fillId="2" borderId="0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18" fontId="4" fillId="0" borderId="1" xfId="0" applyNumberFormat="1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164" fontId="3" fillId="0" borderId="2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topLeftCell="A17" zoomScale="90" zoomScaleNormal="90" workbookViewId="0">
      <selection activeCell="G35" sqref="G35"/>
    </sheetView>
  </sheetViews>
  <sheetFormatPr defaultColWidth="9.140625" defaultRowHeight="15.75"/>
  <cols>
    <col min="1" max="1" width="9.140625" style="8"/>
    <col min="2" max="2" width="9.140625" style="8" hidden="1" customWidth="1"/>
    <col min="3" max="3" width="9" style="8" bestFit="1" customWidth="1"/>
    <col min="4" max="4" width="25" style="8" bestFit="1" customWidth="1"/>
    <col min="5" max="5" width="31.5703125" style="8" bestFit="1" customWidth="1"/>
    <col min="6" max="6" width="32.42578125" style="8" bestFit="1" customWidth="1"/>
    <col min="7" max="7" width="35.5703125" style="8" bestFit="1" customWidth="1"/>
    <col min="8" max="8" width="30.42578125" style="36" bestFit="1" customWidth="1"/>
    <col min="9" max="9" width="8.140625" style="36" bestFit="1" customWidth="1"/>
    <col min="10" max="10" width="19.28515625" style="8" customWidth="1"/>
    <col min="11" max="16384" width="9.140625" style="8"/>
  </cols>
  <sheetData>
    <row r="1" spans="1:9">
      <c r="A1" s="39">
        <v>45418</v>
      </c>
      <c r="B1" s="40"/>
      <c r="C1" s="40"/>
      <c r="D1" s="40"/>
      <c r="E1" s="40"/>
      <c r="F1" s="40"/>
      <c r="G1" s="40"/>
      <c r="H1" s="40"/>
      <c r="I1" s="41"/>
    </row>
    <row r="2" spans="1:9">
      <c r="A2" s="43"/>
      <c r="B2" s="44"/>
      <c r="C2" s="44"/>
      <c r="D2" s="44"/>
      <c r="E2" s="44"/>
      <c r="F2" s="44"/>
      <c r="G2" s="44"/>
      <c r="H2" s="44"/>
      <c r="I2" s="45"/>
    </row>
    <row r="3" spans="1:9">
      <c r="A3" s="9"/>
      <c r="B3" s="10" t="s">
        <v>0</v>
      </c>
      <c r="C3" s="11" t="s">
        <v>1</v>
      </c>
      <c r="D3" s="11" t="s">
        <v>2</v>
      </c>
      <c r="E3" s="1" t="s">
        <v>3</v>
      </c>
      <c r="F3" s="1" t="s">
        <v>4</v>
      </c>
      <c r="G3" s="11" t="s">
        <v>5</v>
      </c>
      <c r="H3" s="12" t="s">
        <v>6</v>
      </c>
      <c r="I3" s="11" t="s">
        <v>0</v>
      </c>
    </row>
    <row r="4" spans="1:9">
      <c r="A4" s="9" t="s">
        <v>7</v>
      </c>
      <c r="B4" s="9">
        <v>91</v>
      </c>
      <c r="C4" s="13">
        <f>B4-F4-G4-H4</f>
        <v>79</v>
      </c>
      <c r="D4" s="2">
        <v>0</v>
      </c>
      <c r="E4" s="2">
        <v>12</v>
      </c>
      <c r="F4" s="2">
        <v>5</v>
      </c>
      <c r="G4" s="13">
        <v>4</v>
      </c>
      <c r="H4" s="14">
        <v>3</v>
      </c>
      <c r="I4" s="46">
        <f>SUM(B4:B5)</f>
        <v>181</v>
      </c>
    </row>
    <row r="5" spans="1:9">
      <c r="A5" s="9" t="s">
        <v>8</v>
      </c>
      <c r="B5" s="9">
        <v>90</v>
      </c>
      <c r="C5" s="13">
        <f>B5-F5-G5-H5</f>
        <v>79</v>
      </c>
      <c r="D5" s="2">
        <v>4</v>
      </c>
      <c r="E5" s="2">
        <v>7</v>
      </c>
      <c r="F5" s="2">
        <v>0</v>
      </c>
      <c r="G5" s="13">
        <v>3</v>
      </c>
      <c r="H5" s="14">
        <v>8</v>
      </c>
      <c r="I5" s="47"/>
    </row>
    <row r="6" spans="1:9">
      <c r="A6" s="9"/>
      <c r="B6" s="9">
        <f t="shared" ref="B6:H6" si="0">SUM(B4:B5)</f>
        <v>181</v>
      </c>
      <c r="C6" s="1">
        <f t="shared" si="0"/>
        <v>158</v>
      </c>
      <c r="D6" s="1">
        <f t="shared" si="0"/>
        <v>4</v>
      </c>
      <c r="E6" s="1">
        <f t="shared" si="0"/>
        <v>19</v>
      </c>
      <c r="F6" s="1">
        <f t="shared" si="0"/>
        <v>5</v>
      </c>
      <c r="G6" s="11">
        <f t="shared" si="0"/>
        <v>7</v>
      </c>
      <c r="H6" s="12">
        <f t="shared" si="0"/>
        <v>11</v>
      </c>
      <c r="I6" s="48"/>
    </row>
    <row r="7" spans="1:9">
      <c r="A7" s="15"/>
      <c r="B7" s="15"/>
      <c r="C7" s="15"/>
      <c r="D7" s="15"/>
      <c r="E7" s="16"/>
      <c r="F7" s="16"/>
      <c r="G7" s="17"/>
      <c r="H7" s="17"/>
      <c r="I7" s="18"/>
    </row>
    <row r="8" spans="1:9">
      <c r="A8" s="15"/>
      <c r="B8" s="15"/>
      <c r="C8" s="42" t="s">
        <v>2</v>
      </c>
      <c r="D8" s="42"/>
      <c r="E8" s="42"/>
      <c r="F8" s="42"/>
      <c r="G8" s="42"/>
      <c r="H8" s="17"/>
      <c r="I8" s="18"/>
    </row>
    <row r="9" spans="1:9">
      <c r="A9" s="15"/>
      <c r="B9" s="15"/>
      <c r="C9" s="19" t="s">
        <v>9</v>
      </c>
      <c r="D9" s="1" t="s">
        <v>10</v>
      </c>
      <c r="E9" s="1" t="s">
        <v>11</v>
      </c>
      <c r="F9" s="1" t="s">
        <v>12</v>
      </c>
      <c r="G9" s="19" t="s">
        <v>13</v>
      </c>
      <c r="H9" s="20"/>
      <c r="I9" s="18"/>
    </row>
    <row r="10" spans="1:9">
      <c r="A10" s="15"/>
      <c r="B10" s="15"/>
      <c r="C10" s="2">
        <v>1</v>
      </c>
      <c r="D10" s="21" t="s">
        <v>45</v>
      </c>
      <c r="E10" s="6" t="s">
        <v>46</v>
      </c>
      <c r="F10" s="4" t="s">
        <v>27</v>
      </c>
      <c r="G10" s="4" t="s">
        <v>49</v>
      </c>
      <c r="H10" s="20"/>
      <c r="I10" s="18"/>
    </row>
    <row r="11" spans="1:9">
      <c r="A11" s="15"/>
      <c r="B11" s="15"/>
      <c r="C11" s="2">
        <v>2</v>
      </c>
      <c r="D11" s="22" t="s">
        <v>47</v>
      </c>
      <c r="E11" s="6" t="s">
        <v>29</v>
      </c>
      <c r="F11" s="4" t="s">
        <v>48</v>
      </c>
      <c r="G11" s="4" t="s">
        <v>49</v>
      </c>
      <c r="H11" s="20"/>
      <c r="I11" s="18"/>
    </row>
    <row r="12" spans="1:9">
      <c r="A12" s="15"/>
      <c r="B12" s="15"/>
      <c r="C12" s="2">
        <v>3</v>
      </c>
      <c r="D12" s="21" t="s">
        <v>52</v>
      </c>
      <c r="E12" s="6" t="s">
        <v>26</v>
      </c>
      <c r="F12" s="4" t="s">
        <v>48</v>
      </c>
      <c r="G12" s="4" t="s">
        <v>49</v>
      </c>
      <c r="H12" s="20"/>
      <c r="I12" s="18"/>
    </row>
    <row r="13" spans="1:9">
      <c r="A13" s="15"/>
      <c r="B13" s="15"/>
      <c r="C13" s="2">
        <v>4</v>
      </c>
      <c r="D13" s="3" t="s">
        <v>53</v>
      </c>
      <c r="E13" s="6" t="s">
        <v>26</v>
      </c>
      <c r="F13" s="4" t="s">
        <v>54</v>
      </c>
      <c r="G13" s="4" t="s">
        <v>55</v>
      </c>
      <c r="H13" s="20"/>
      <c r="I13" s="18"/>
    </row>
    <row r="14" spans="1:9">
      <c r="A14" s="15"/>
      <c r="B14" s="15"/>
      <c r="C14" s="23"/>
      <c r="D14" s="24"/>
      <c r="E14" s="25"/>
      <c r="F14" s="26"/>
      <c r="G14" s="27"/>
      <c r="H14" s="20"/>
      <c r="I14" s="18"/>
    </row>
    <row r="15" spans="1:9">
      <c r="A15" s="15"/>
      <c r="B15" s="15"/>
      <c r="C15" s="42" t="s">
        <v>14</v>
      </c>
      <c r="D15" s="42"/>
      <c r="E15" s="42"/>
      <c r="F15" s="42"/>
      <c r="G15" s="42"/>
      <c r="H15" s="42"/>
      <c r="I15" s="28"/>
    </row>
    <row r="16" spans="1:9">
      <c r="A16" s="15"/>
      <c r="B16" s="15"/>
      <c r="C16" s="1" t="s">
        <v>9</v>
      </c>
      <c r="D16" s="1" t="s">
        <v>10</v>
      </c>
      <c r="E16" s="1" t="s">
        <v>11</v>
      </c>
      <c r="F16" s="1" t="s">
        <v>12</v>
      </c>
      <c r="G16" s="1" t="s">
        <v>15</v>
      </c>
      <c r="H16" s="1" t="s">
        <v>16</v>
      </c>
      <c r="I16" s="18"/>
    </row>
    <row r="17" spans="1:9">
      <c r="A17" s="15"/>
      <c r="B17" s="15"/>
      <c r="C17" s="2">
        <v>1</v>
      </c>
      <c r="D17" s="3" t="s">
        <v>60</v>
      </c>
      <c r="E17" s="4" t="s">
        <v>61</v>
      </c>
      <c r="F17" s="3" t="s">
        <v>51</v>
      </c>
      <c r="G17" s="37">
        <v>0.43263888888888885</v>
      </c>
      <c r="H17" s="4" t="s">
        <v>44</v>
      </c>
      <c r="I17" s="18"/>
    </row>
    <row r="18" spans="1:9">
      <c r="A18" s="15"/>
      <c r="B18" s="15"/>
      <c r="C18" s="2">
        <v>2</v>
      </c>
      <c r="D18" s="3" t="s">
        <v>70</v>
      </c>
      <c r="E18" s="4" t="s">
        <v>21</v>
      </c>
      <c r="F18" s="3" t="s">
        <v>80</v>
      </c>
      <c r="G18" s="37">
        <v>0.4368055555555555</v>
      </c>
      <c r="H18" s="4" t="s">
        <v>44</v>
      </c>
      <c r="I18" s="18"/>
    </row>
    <row r="19" spans="1:9">
      <c r="A19" s="15"/>
      <c r="B19" s="15"/>
      <c r="C19" s="2">
        <v>3</v>
      </c>
      <c r="D19" s="3" t="s">
        <v>71</v>
      </c>
      <c r="E19" s="4" t="s">
        <v>21</v>
      </c>
      <c r="F19" s="3" t="s">
        <v>81</v>
      </c>
      <c r="G19" s="37">
        <v>0.43958333333333338</v>
      </c>
      <c r="H19" s="4" t="s">
        <v>44</v>
      </c>
      <c r="I19" s="18"/>
    </row>
    <row r="20" spans="1:9">
      <c r="A20" s="15"/>
      <c r="B20" s="15"/>
      <c r="C20" s="2">
        <v>4</v>
      </c>
      <c r="D20" s="3" t="s">
        <v>72</v>
      </c>
      <c r="E20" s="4" t="s">
        <v>21</v>
      </c>
      <c r="F20" s="3" t="s">
        <v>31</v>
      </c>
      <c r="G20" s="37">
        <v>0.4368055555555555</v>
      </c>
      <c r="H20" s="4" t="s">
        <v>44</v>
      </c>
      <c r="I20" s="18"/>
    </row>
    <row r="21" spans="1:9">
      <c r="A21" s="15"/>
      <c r="B21" s="15"/>
      <c r="C21" s="2">
        <v>5</v>
      </c>
      <c r="D21" s="3" t="s">
        <v>73</v>
      </c>
      <c r="E21" s="4" t="s">
        <v>21</v>
      </c>
      <c r="F21" s="3" t="s">
        <v>43</v>
      </c>
      <c r="G21" s="37">
        <v>0.45416666666666666</v>
      </c>
      <c r="H21" s="4" t="s">
        <v>89</v>
      </c>
      <c r="I21" s="18"/>
    </row>
    <row r="22" spans="1:9">
      <c r="A22" s="15"/>
      <c r="B22" s="15"/>
      <c r="C22" s="2">
        <v>6</v>
      </c>
      <c r="D22" s="3" t="s">
        <v>74</v>
      </c>
      <c r="E22" s="4" t="s">
        <v>21</v>
      </c>
      <c r="F22" s="3" t="s">
        <v>82</v>
      </c>
      <c r="G22" s="37">
        <v>0.4368055555555555</v>
      </c>
      <c r="H22" s="4" t="s">
        <v>44</v>
      </c>
      <c r="I22" s="18"/>
    </row>
    <row r="23" spans="1:9">
      <c r="A23" s="15"/>
      <c r="B23" s="15"/>
      <c r="C23" s="2">
        <v>7</v>
      </c>
      <c r="D23" s="3" t="s">
        <v>75</v>
      </c>
      <c r="E23" s="4" t="s">
        <v>21</v>
      </c>
      <c r="F23" s="3" t="s">
        <v>83</v>
      </c>
      <c r="G23" s="37">
        <v>0.45069444444444445</v>
      </c>
      <c r="H23" s="4" t="s">
        <v>44</v>
      </c>
      <c r="I23" s="18"/>
    </row>
    <row r="24" spans="1:9">
      <c r="A24" s="15"/>
      <c r="B24" s="15"/>
      <c r="C24" s="2">
        <v>8</v>
      </c>
      <c r="D24" s="3" t="s">
        <v>76</v>
      </c>
      <c r="E24" s="4" t="s">
        <v>21</v>
      </c>
      <c r="F24" s="3" t="s">
        <v>84</v>
      </c>
      <c r="G24" s="37">
        <v>0.43472222222222223</v>
      </c>
      <c r="H24" s="4" t="s">
        <v>44</v>
      </c>
      <c r="I24" s="18"/>
    </row>
    <row r="25" spans="1:9">
      <c r="A25" s="15"/>
      <c r="B25" s="15"/>
      <c r="C25" s="2">
        <v>9</v>
      </c>
      <c r="D25" s="3" t="s">
        <v>77</v>
      </c>
      <c r="E25" s="4" t="s">
        <v>21</v>
      </c>
      <c r="F25" s="3" t="s">
        <v>85</v>
      </c>
      <c r="G25" s="37">
        <v>0.45416666666666666</v>
      </c>
      <c r="H25" s="4" t="s">
        <v>90</v>
      </c>
      <c r="I25" s="18"/>
    </row>
    <row r="26" spans="1:9">
      <c r="A26" s="15"/>
      <c r="B26" s="15"/>
      <c r="C26" s="2">
        <v>10</v>
      </c>
      <c r="D26" s="3" t="s">
        <v>42</v>
      </c>
      <c r="E26" s="4" t="s">
        <v>21</v>
      </c>
      <c r="F26" s="3" t="s">
        <v>86</v>
      </c>
      <c r="G26" s="37">
        <v>0.44791666666666669</v>
      </c>
      <c r="H26" s="4" t="s">
        <v>90</v>
      </c>
      <c r="I26" s="18"/>
    </row>
    <row r="27" spans="1:9">
      <c r="A27" s="15"/>
      <c r="B27" s="15"/>
      <c r="C27" s="2">
        <v>11</v>
      </c>
      <c r="D27" s="3" t="s">
        <v>78</v>
      </c>
      <c r="E27" s="4" t="s">
        <v>34</v>
      </c>
      <c r="F27" s="3" t="s">
        <v>35</v>
      </c>
      <c r="G27" s="37">
        <v>0.45208333333333334</v>
      </c>
      <c r="H27" s="4" t="s">
        <v>44</v>
      </c>
      <c r="I27" s="18"/>
    </row>
    <row r="28" spans="1:9">
      <c r="A28" s="15"/>
      <c r="B28" s="15"/>
      <c r="C28" s="2">
        <v>12</v>
      </c>
      <c r="D28" s="3" t="s">
        <v>79</v>
      </c>
      <c r="E28" s="4" t="s">
        <v>21</v>
      </c>
      <c r="F28" s="3" t="s">
        <v>87</v>
      </c>
      <c r="G28" s="37">
        <v>0.45208333333333334</v>
      </c>
      <c r="H28" s="4" t="s">
        <v>90</v>
      </c>
      <c r="I28" s="18"/>
    </row>
    <row r="29" spans="1:9">
      <c r="A29" s="15"/>
      <c r="B29" s="15"/>
      <c r="C29" s="2">
        <v>13</v>
      </c>
      <c r="D29" s="3" t="s">
        <v>56</v>
      </c>
      <c r="E29" s="6" t="s">
        <v>26</v>
      </c>
      <c r="F29" s="4" t="s">
        <v>51</v>
      </c>
      <c r="G29" s="7">
        <v>0.40277777777777773</v>
      </c>
      <c r="H29" s="4" t="s">
        <v>57</v>
      </c>
      <c r="I29" s="18"/>
    </row>
    <row r="30" spans="1:9">
      <c r="A30" s="15"/>
      <c r="B30" s="15"/>
      <c r="C30" s="2">
        <v>14</v>
      </c>
      <c r="D30" s="3" t="s">
        <v>58</v>
      </c>
      <c r="E30" s="6" t="s">
        <v>26</v>
      </c>
      <c r="F30" s="4" t="s">
        <v>54</v>
      </c>
      <c r="G30" s="7">
        <v>0.40972222222222227</v>
      </c>
      <c r="H30" s="4" t="s">
        <v>57</v>
      </c>
      <c r="I30" s="18"/>
    </row>
    <row r="31" spans="1:9">
      <c r="A31" s="15"/>
      <c r="B31" s="15"/>
      <c r="C31" s="2">
        <v>15</v>
      </c>
      <c r="D31" s="3" t="s">
        <v>59</v>
      </c>
      <c r="E31" s="6" t="s">
        <v>26</v>
      </c>
      <c r="F31" s="4" t="s">
        <v>48</v>
      </c>
      <c r="G31" s="7">
        <v>0.39374999999999999</v>
      </c>
      <c r="H31" s="4" t="s">
        <v>57</v>
      </c>
      <c r="I31" s="18"/>
    </row>
    <row r="32" spans="1:9">
      <c r="A32" s="15"/>
      <c r="B32" s="15"/>
      <c r="C32" s="2">
        <v>16</v>
      </c>
      <c r="D32" s="3" t="s">
        <v>62</v>
      </c>
      <c r="E32" s="6" t="s">
        <v>29</v>
      </c>
      <c r="F32" s="4" t="s">
        <v>63</v>
      </c>
      <c r="G32" s="7">
        <v>0.43194444444444446</v>
      </c>
      <c r="H32" s="4" t="s">
        <v>64</v>
      </c>
      <c r="I32" s="18"/>
    </row>
    <row r="33" spans="1:9">
      <c r="A33" s="15"/>
      <c r="B33" s="15"/>
      <c r="C33" s="2">
        <v>17</v>
      </c>
      <c r="D33" s="3" t="s">
        <v>65</v>
      </c>
      <c r="E33" s="6" t="s">
        <v>29</v>
      </c>
      <c r="F33" s="4" t="s">
        <v>51</v>
      </c>
      <c r="G33" s="7">
        <v>0.44027777777777777</v>
      </c>
      <c r="H33" s="4" t="s">
        <v>57</v>
      </c>
      <c r="I33" s="18"/>
    </row>
    <row r="34" spans="1:9">
      <c r="A34" s="15"/>
      <c r="B34" s="15"/>
      <c r="C34" s="2">
        <v>18</v>
      </c>
      <c r="D34" s="3" t="s">
        <v>68</v>
      </c>
      <c r="E34" s="6" t="s">
        <v>88</v>
      </c>
      <c r="F34" s="4" t="s">
        <v>91</v>
      </c>
      <c r="G34" s="7">
        <v>0.3923611111111111</v>
      </c>
      <c r="H34" s="4" t="s">
        <v>44</v>
      </c>
      <c r="I34" s="18"/>
    </row>
    <row r="35" spans="1:9">
      <c r="A35" s="15"/>
      <c r="B35" s="15"/>
      <c r="C35" s="2">
        <v>19</v>
      </c>
      <c r="D35" s="3" t="s">
        <v>69</v>
      </c>
      <c r="E35" s="6" t="s">
        <v>88</v>
      </c>
      <c r="F35" s="4" t="s">
        <v>91</v>
      </c>
      <c r="G35" s="7">
        <v>0.40833333333333338</v>
      </c>
      <c r="H35" s="4" t="s">
        <v>44</v>
      </c>
      <c r="I35" s="18"/>
    </row>
    <row r="36" spans="1:9">
      <c r="A36" s="15"/>
      <c r="B36" s="15"/>
      <c r="C36" s="23"/>
      <c r="D36" s="24"/>
      <c r="E36" s="29"/>
      <c r="F36" s="26"/>
      <c r="G36" s="30"/>
      <c r="H36" s="23"/>
      <c r="I36" s="18"/>
    </row>
    <row r="37" spans="1:9">
      <c r="A37" s="15"/>
      <c r="B37" s="15"/>
      <c r="C37" s="42" t="s">
        <v>17</v>
      </c>
      <c r="D37" s="42"/>
      <c r="E37" s="42"/>
      <c r="F37" s="42"/>
      <c r="G37" s="42"/>
      <c r="H37" s="18"/>
      <c r="I37" s="18"/>
    </row>
    <row r="38" spans="1:9">
      <c r="C38" s="19" t="s">
        <v>9</v>
      </c>
      <c r="D38" s="1" t="s">
        <v>10</v>
      </c>
      <c r="E38" s="1" t="s">
        <v>11</v>
      </c>
      <c r="F38" s="1" t="s">
        <v>12</v>
      </c>
      <c r="G38" s="19" t="s">
        <v>13</v>
      </c>
      <c r="H38" s="18"/>
      <c r="I38" s="18"/>
    </row>
    <row r="39" spans="1:9">
      <c r="C39" s="2">
        <v>1</v>
      </c>
      <c r="D39" s="3" t="s">
        <v>30</v>
      </c>
      <c r="E39" s="31" t="s">
        <v>21</v>
      </c>
      <c r="F39" s="4" t="s">
        <v>31</v>
      </c>
      <c r="G39" s="4" t="s">
        <v>41</v>
      </c>
      <c r="H39" s="18"/>
      <c r="I39" s="18"/>
    </row>
    <row r="40" spans="1:9" ht="14.25" customHeight="1">
      <c r="A40" s="24"/>
      <c r="B40" s="24"/>
      <c r="C40" s="23"/>
      <c r="D40" s="24"/>
      <c r="E40" s="25"/>
      <c r="F40" s="26"/>
      <c r="G40" s="27"/>
      <c r="H40" s="23"/>
      <c r="I40" s="18"/>
    </row>
    <row r="41" spans="1:9">
      <c r="C41" s="38" t="s">
        <v>5</v>
      </c>
      <c r="D41" s="38"/>
      <c r="E41" s="38"/>
      <c r="F41" s="38"/>
      <c r="G41" s="38"/>
      <c r="H41" s="13"/>
      <c r="I41" s="13"/>
    </row>
    <row r="42" spans="1:9">
      <c r="C42" s="11" t="s">
        <v>9</v>
      </c>
      <c r="D42" s="1" t="s">
        <v>10</v>
      </c>
      <c r="E42" s="1" t="s">
        <v>11</v>
      </c>
      <c r="F42" s="1" t="s">
        <v>12</v>
      </c>
      <c r="G42" s="11" t="s">
        <v>13</v>
      </c>
      <c r="H42" s="11" t="s">
        <v>18</v>
      </c>
      <c r="I42" s="11" t="s">
        <v>19</v>
      </c>
    </row>
    <row r="43" spans="1:9">
      <c r="C43" s="2">
        <v>1</v>
      </c>
      <c r="D43" s="3" t="s">
        <v>23</v>
      </c>
      <c r="E43" s="31" t="s">
        <v>21</v>
      </c>
      <c r="F43" s="4" t="s">
        <v>22</v>
      </c>
      <c r="G43" s="49" t="s">
        <v>24</v>
      </c>
      <c r="H43" s="49"/>
      <c r="I43" s="49"/>
    </row>
    <row r="44" spans="1:9">
      <c r="C44" s="2">
        <v>2</v>
      </c>
      <c r="D44" s="3" t="s">
        <v>32</v>
      </c>
      <c r="E44" s="31" t="s">
        <v>21</v>
      </c>
      <c r="F44" s="4" t="s">
        <v>33</v>
      </c>
      <c r="G44" s="5" t="s">
        <v>28</v>
      </c>
      <c r="H44" s="5">
        <v>6</v>
      </c>
      <c r="I44" s="31">
        <v>9</v>
      </c>
    </row>
    <row r="45" spans="1:9">
      <c r="C45" s="2">
        <v>3</v>
      </c>
      <c r="D45" s="32" t="s">
        <v>37</v>
      </c>
      <c r="E45" s="33" t="s">
        <v>21</v>
      </c>
      <c r="F45" s="34" t="s">
        <v>38</v>
      </c>
      <c r="G45" s="5" t="s">
        <v>39</v>
      </c>
      <c r="H45" s="5">
        <v>0</v>
      </c>
      <c r="I45" s="31">
        <v>10</v>
      </c>
    </row>
    <row r="46" spans="1:9">
      <c r="C46" s="2">
        <v>4</v>
      </c>
      <c r="D46" s="3" t="s">
        <v>36</v>
      </c>
      <c r="E46" s="31" t="s">
        <v>21</v>
      </c>
      <c r="F46" s="4" t="s">
        <v>31</v>
      </c>
      <c r="G46" s="5" t="s">
        <v>40</v>
      </c>
      <c r="H46" s="5">
        <v>3</v>
      </c>
      <c r="I46" s="31">
        <v>7</v>
      </c>
    </row>
    <row r="47" spans="1:9">
      <c r="C47" s="2">
        <v>5</v>
      </c>
      <c r="D47" s="3" t="s">
        <v>25</v>
      </c>
      <c r="E47" s="31" t="s">
        <v>26</v>
      </c>
      <c r="F47" s="4" t="s">
        <v>27</v>
      </c>
      <c r="G47" s="5" t="s">
        <v>28</v>
      </c>
      <c r="H47" s="5">
        <v>8</v>
      </c>
      <c r="I47" s="31">
        <v>7</v>
      </c>
    </row>
    <row r="48" spans="1:9">
      <c r="C48" s="2">
        <v>6</v>
      </c>
      <c r="D48" s="3" t="s">
        <v>50</v>
      </c>
      <c r="E48" s="3" t="s">
        <v>29</v>
      </c>
      <c r="F48" s="3" t="s">
        <v>51</v>
      </c>
      <c r="G48" s="5" t="s">
        <v>28</v>
      </c>
      <c r="H48" s="5">
        <v>5</v>
      </c>
      <c r="I48" s="5">
        <v>10</v>
      </c>
    </row>
    <row r="49" spans="3:9">
      <c r="C49" s="2">
        <v>7</v>
      </c>
      <c r="D49" s="3" t="s">
        <v>66</v>
      </c>
      <c r="E49" s="3" t="s">
        <v>67</v>
      </c>
      <c r="F49" s="3" t="s">
        <v>54</v>
      </c>
      <c r="G49" s="5" t="s">
        <v>28</v>
      </c>
      <c r="H49" s="5">
        <v>4</v>
      </c>
      <c r="I49" s="5">
        <v>11</v>
      </c>
    </row>
    <row r="50" spans="3:9" s="35" customFormat="1"/>
    <row r="51" spans="3:9" ht="15" customHeight="1">
      <c r="C51" s="38" t="s">
        <v>20</v>
      </c>
      <c r="D51" s="38"/>
      <c r="E51" s="38"/>
      <c r="F51" s="38"/>
      <c r="G51" s="38"/>
      <c r="H51" s="18"/>
      <c r="I51" s="18"/>
    </row>
    <row r="52" spans="3:9">
      <c r="C52" s="11" t="s">
        <v>9</v>
      </c>
      <c r="D52" s="1" t="s">
        <v>10</v>
      </c>
      <c r="E52" s="1" t="s">
        <v>11</v>
      </c>
      <c r="F52" s="1" t="s">
        <v>12</v>
      </c>
      <c r="G52" s="11" t="s">
        <v>13</v>
      </c>
    </row>
    <row r="53" spans="3:9">
      <c r="C53" s="2">
        <v>1</v>
      </c>
      <c r="D53" s="3"/>
      <c r="E53" s="31"/>
      <c r="F53" s="4"/>
      <c r="G53" s="4"/>
    </row>
    <row r="57" spans="3:9">
      <c r="H57" s="8"/>
      <c r="I57" s="8"/>
    </row>
  </sheetData>
  <mergeCells count="9">
    <mergeCell ref="C51:G51"/>
    <mergeCell ref="A1:I1"/>
    <mergeCell ref="C8:G8"/>
    <mergeCell ref="C37:G37"/>
    <mergeCell ref="C41:G41"/>
    <mergeCell ref="A2:I2"/>
    <mergeCell ref="I4:I6"/>
    <mergeCell ref="C15:H15"/>
    <mergeCell ref="G43:I43"/>
  </mergeCells>
  <conditionalFormatting sqref="D40">
    <cfRule type="duplicateValues" dxfId="17" priority="921"/>
  </conditionalFormatting>
  <conditionalFormatting sqref="D14">
    <cfRule type="duplicateValues" dxfId="16" priority="785"/>
  </conditionalFormatting>
  <conditionalFormatting sqref="D57:D60 D52 D1:D3 D6:D8 D37 D40:D41 D62:D1048576">
    <cfRule type="duplicateValues" dxfId="15" priority="1421"/>
  </conditionalFormatting>
  <conditionalFormatting sqref="D36">
    <cfRule type="duplicateValues" dxfId="14" priority="1491"/>
  </conditionalFormatting>
  <conditionalFormatting sqref="D53">
    <cfRule type="duplicateValues" dxfId="13" priority="280"/>
  </conditionalFormatting>
  <conditionalFormatting sqref="D31">
    <cfRule type="duplicateValues" dxfId="12" priority="166"/>
  </conditionalFormatting>
  <conditionalFormatting sqref="D10 D13">
    <cfRule type="duplicateValues" dxfId="11" priority="162"/>
  </conditionalFormatting>
  <conditionalFormatting sqref="D11">
    <cfRule type="duplicateValues" dxfId="10" priority="133"/>
  </conditionalFormatting>
  <conditionalFormatting sqref="D12">
    <cfRule type="duplicateValues" dxfId="9" priority="111"/>
  </conditionalFormatting>
  <conditionalFormatting sqref="D30">
    <cfRule type="duplicateValues" dxfId="8" priority="1530"/>
  </conditionalFormatting>
  <conditionalFormatting sqref="D32">
    <cfRule type="duplicateValues" dxfId="7" priority="57"/>
  </conditionalFormatting>
  <conditionalFormatting sqref="D29">
    <cfRule type="duplicateValues" dxfId="6" priority="1557"/>
  </conditionalFormatting>
  <conditionalFormatting sqref="D45">
    <cfRule type="duplicateValues" dxfId="5" priority="41"/>
  </conditionalFormatting>
  <conditionalFormatting sqref="D46">
    <cfRule type="duplicateValues" dxfId="4" priority="36"/>
  </conditionalFormatting>
  <conditionalFormatting sqref="D39">
    <cfRule type="duplicateValues" dxfId="3" priority="31"/>
  </conditionalFormatting>
  <conditionalFormatting sqref="D44">
    <cfRule type="duplicateValues" dxfId="2" priority="10"/>
  </conditionalFormatting>
  <conditionalFormatting sqref="D43 D47">
    <cfRule type="duplicateValues" dxfId="1" priority="1594"/>
  </conditionalFormatting>
  <conditionalFormatting sqref="D33:D35">
    <cfRule type="duplicateValues" dxfId="0" priority="1605"/>
  </conditionalFormatting>
  <pageMargins left="0.7" right="0.7" top="0.75" bottom="0.75" header="0.3" footer="0.3"/>
  <pageSetup scale="5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2024-03-13T05:29:55Z</cp:lastPrinted>
  <dcterms:created xsi:type="dcterms:W3CDTF">2024-02-27T04:48:59Z</dcterms:created>
  <dcterms:modified xsi:type="dcterms:W3CDTF">2024-05-06T07:08:24Z</dcterms:modified>
</cp:coreProperties>
</file>